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KI\Downloads\"/>
    </mc:Choice>
  </mc:AlternateContent>
  <xr:revisionPtr revIDLastSave="0" documentId="13_ncr:1_{060F1C2D-DCFB-4165-AD7E-311F940225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48" i="1"/>
  <c r="D49" i="1"/>
  <c r="D50" i="1"/>
  <c r="D51" i="1"/>
  <c r="D52" i="1"/>
  <c r="D53" i="1"/>
  <c r="D54" i="1"/>
  <c r="D55" i="1"/>
  <c r="D56" i="1"/>
  <c r="D57" i="1"/>
  <c r="D58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6" i="1"/>
  <c r="D27" i="1"/>
  <c r="D28" i="1"/>
  <c r="D29" i="1"/>
  <c r="D30" i="1"/>
  <c r="D31" i="1"/>
  <c r="D32" i="1"/>
  <c r="D33" i="1"/>
  <c r="D34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<sst xmlns="http://schemas.openxmlformats.org/spreadsheetml/2006/main" count="9" uniqueCount="9">
  <si>
    <t>Date</t>
  </si>
  <si>
    <t>DJIA_Close</t>
  </si>
  <si>
    <t>IHSG_Close</t>
  </si>
  <si>
    <t>R_DJIA</t>
  </si>
  <si>
    <t>R_IHSG</t>
  </si>
  <si>
    <t>BI rate</t>
  </si>
  <si>
    <t>T</t>
  </si>
  <si>
    <t>Kurs Dollar</t>
  </si>
  <si>
    <t>Kurs Dollar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</si>
</sst>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</font>
    <font>
      <sz val="12"/>
      <name val="Tahoma"/>
      <family val="2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11"/>
      <color rgb="FFD91400"/>
      <name val="Segoe UI"/>
      <family val="2"/>
    </font>
    <font>
      <sz val="11"/>
      <color rgb="FF007C3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2" fontId="5" fillId="0" borderId="0" xfId="1" applyNumberFormat="1" applyFont="1" applyAlignment="1">
      <alignment horizontal="left"/>
    </xf>
    <xf numFmtId="14" fontId="6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3" borderId="0" xfId="0" applyFont="1" applyFill="1" applyAlignment="1">
      <alignment horizontal="right" vertical="center" wrapText="1" readingOrder="1"/>
    </xf>
    <xf numFmtId="2" fontId="8" fillId="4" borderId="0" xfId="0" applyNumberFormat="1" applyFont="1" applyFill="1" applyAlignment="1">
      <alignment horizontal="right" vertical="center" wrapText="1" readingOrder="1"/>
    </xf>
    <xf numFmtId="2" fontId="9" fillId="4" borderId="0" xfId="0" applyNumberFormat="1" applyFont="1" applyFill="1" applyAlignment="1">
      <alignment horizontal="right" vertical="center" wrapText="1" readingOrder="1"/>
    </xf>
    <xf numFmtId="0" fontId="9" fillId="0" borderId="0" xfId="0" applyFont="1"/>
  </cellXfs>
  <cellStyles count="2">
    <cellStyle name="Normal" xfId="0" builtinId="0"/>
    <cellStyle name="Normal 2" xfId="1" xr:uid="{F6826C9A-18DC-4391-A382-6ECB827793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zoomScale="105" workbookViewId="0">
      <selection activeCell="I2" sqref="I2"/>
    </sheetView>
  </sheetViews>
  <sheetFormatPr defaultRowHeight="15" x14ac:dyDescent="0.25"/>
  <cols>
    <col min="1" max="1" width="17.85546875" style="2" bestFit="1" customWidth="1"/>
    <col min="3" max="3" width="12.42578125" bestFit="1" customWidth="1"/>
    <col min="4" max="4" width="11.85546875" bestFit="1" customWidth="1"/>
    <col min="5" max="6" width="12.42578125" bestFit="1" customWidth="1"/>
    <col min="7" max="7" width="12.42578125" style="3" customWidth="1"/>
    <col min="8" max="8" width="11.7109375" customWidth="1"/>
    <col min="9" max="9" width="18.7109375" customWidth="1"/>
  </cols>
  <sheetData>
    <row r="1" spans="1:9" s="3" customFormat="1" x14ac:dyDescent="0.25">
      <c r="A1" s="6" t="s">
        <v>0</v>
      </c>
      <c r="B1" s="7" t="s">
        <v>6</v>
      </c>
      <c r="C1" s="8" t="s">
        <v>1</v>
      </c>
      <c r="D1" s="9" t="s">
        <v>3</v>
      </c>
      <c r="E1" s="8" t="s">
        <v>2</v>
      </c>
      <c r="F1" s="9" t="s">
        <v>4</v>
      </c>
      <c r="G1" s="7" t="s">
        <v>5</v>
      </c>
      <c r="H1" s="3" t="s">
        <v>7</v>
      </c>
      <c r="I1" s="3" t="s">
        <v>8</v>
      </c>
    </row>
    <row r="2" spans="1:9" ht="16.5" x14ac:dyDescent="0.25">
      <c r="A2" s="1">
        <v>42370</v>
      </c>
      <c r="B2" s="4">
        <v>1</v>
      </c>
      <c r="C2" s="10">
        <v>16466.30078125</v>
      </c>
      <c r="D2" s="10">
        <v>0</v>
      </c>
      <c r="E2" s="10">
        <v>4614.9833984375</v>
      </c>
      <c r="F2" s="10">
        <v>0</v>
      </c>
      <c r="G2" s="4">
        <v>5.5E-2</v>
      </c>
      <c r="H2">
        <v>-2.970332975122747E-2</v>
      </c>
      <c r="I2" s="14">
        <v>13770</v>
      </c>
    </row>
    <row r="3" spans="1:9" ht="16.5" x14ac:dyDescent="0.25">
      <c r="A3" s="1">
        <v>42401</v>
      </c>
      <c r="B3" s="4">
        <v>2</v>
      </c>
      <c r="C3" s="10">
        <v>16516.5</v>
      </c>
      <c r="D3" s="10">
        <f t="shared" ref="D3:D55" si="0">LN(C3/C2)</f>
        <v>3.0439657228596476E-3</v>
      </c>
      <c r="E3" s="10">
        <v>4770.7705078125</v>
      </c>
      <c r="F3" s="10">
        <f t="shared" ref="F3:F57" si="1">LN(E3/E2)</f>
        <v>3.3199553248157314E-2</v>
      </c>
      <c r="G3" s="4">
        <v>5.5E-2</v>
      </c>
      <c r="H3">
        <v>-8.4141432483470918E-3</v>
      </c>
      <c r="I3" s="15">
        <v>13367</v>
      </c>
    </row>
    <row r="4" spans="1:9" ht="16.5" x14ac:dyDescent="0.25">
      <c r="A4" s="1">
        <v>42430</v>
      </c>
      <c r="B4" s="4">
        <v>3</v>
      </c>
      <c r="C4" s="10">
        <v>17685.08984375</v>
      </c>
      <c r="D4" s="10">
        <f t="shared" si="0"/>
        <v>6.8362021628274316E-2</v>
      </c>
      <c r="E4" s="10">
        <v>4845.18212890625</v>
      </c>
      <c r="F4" s="10">
        <f t="shared" si="1"/>
        <v>1.5477011850204128E-2</v>
      </c>
      <c r="G4" s="4">
        <v>5.5E-2</v>
      </c>
      <c r="H4">
        <v>-5.6743106666277115E-3</v>
      </c>
      <c r="I4" s="15">
        <v>13255</v>
      </c>
    </row>
    <row r="5" spans="1:9" ht="16.5" x14ac:dyDescent="0.25">
      <c r="A5" s="1">
        <v>42461</v>
      </c>
      <c r="B5" s="4">
        <v>4</v>
      </c>
      <c r="C5" s="10">
        <v>17773.640625</v>
      </c>
      <c r="D5" s="10">
        <f t="shared" si="0"/>
        <v>4.9945931036638174E-3</v>
      </c>
      <c r="E5" s="10">
        <v>4838.39453125</v>
      </c>
      <c r="F5" s="10">
        <f t="shared" si="1"/>
        <v>-1.4018784600107487E-3</v>
      </c>
      <c r="G5" s="4">
        <v>5.5E-2</v>
      </c>
      <c r="H5">
        <v>3.5405225851307183E-2</v>
      </c>
      <c r="I5" s="15">
        <v>13180</v>
      </c>
    </row>
    <row r="6" spans="1:9" ht="16.5" x14ac:dyDescent="0.25">
      <c r="A6" s="1">
        <v>42491</v>
      </c>
      <c r="B6" s="4">
        <v>5</v>
      </c>
      <c r="C6" s="10">
        <v>17787.19921875</v>
      </c>
      <c r="D6" s="10">
        <f t="shared" si="0"/>
        <v>7.6255760362209867E-4</v>
      </c>
      <c r="E6" s="10">
        <v>4796.68212890625</v>
      </c>
      <c r="F6" s="10">
        <f t="shared" si="1"/>
        <v>-8.6585015172592917E-3</v>
      </c>
      <c r="G6" s="4">
        <v>5.5E-2</v>
      </c>
      <c r="H6">
        <v>-3.313163639143437E-2</v>
      </c>
      <c r="I6" s="16">
        <v>13655</v>
      </c>
    </row>
    <row r="7" spans="1:9" ht="16.5" x14ac:dyDescent="0.25">
      <c r="A7" s="1">
        <v>42522</v>
      </c>
      <c r="B7" s="4">
        <v>6</v>
      </c>
      <c r="C7" s="10">
        <v>17929.990234375</v>
      </c>
      <c r="D7" s="10">
        <f t="shared" si="0"/>
        <v>7.9956893888980564E-3</v>
      </c>
      <c r="E7" s="10">
        <v>5016.4521484375</v>
      </c>
      <c r="F7" s="10">
        <f t="shared" si="1"/>
        <v>4.4798484739236054E-2</v>
      </c>
      <c r="G7" s="4">
        <v>5.2499999999999998E-2</v>
      </c>
      <c r="H7">
        <v>-8.590922186968105E-3</v>
      </c>
      <c r="I7" s="15">
        <v>13210</v>
      </c>
    </row>
    <row r="8" spans="1:9" ht="16.5" x14ac:dyDescent="0.25">
      <c r="A8" s="1">
        <v>42552</v>
      </c>
      <c r="B8" s="4">
        <v>7</v>
      </c>
      <c r="C8" s="10">
        <v>18432.240234375</v>
      </c>
      <c r="D8" s="10">
        <f t="shared" si="0"/>
        <v>2.7626575013458988E-2</v>
      </c>
      <c r="E8" s="10">
        <v>5215.791015625</v>
      </c>
      <c r="F8" s="10">
        <f t="shared" si="1"/>
        <v>3.8967817295184108E-2</v>
      </c>
      <c r="G8" s="4">
        <v>5.2499999999999998E-2</v>
      </c>
      <c r="H8">
        <v>1.2745791242437106E-2</v>
      </c>
      <c r="I8" s="15">
        <v>13097</v>
      </c>
    </row>
    <row r="9" spans="1:9" ht="16.5" x14ac:dyDescent="0.25">
      <c r="A9" s="1">
        <v>42583</v>
      </c>
      <c r="B9" s="4">
        <v>8</v>
      </c>
      <c r="C9" s="10">
        <v>18400.880859375</v>
      </c>
      <c r="D9" s="10">
        <f t="shared" si="0"/>
        <v>-1.7027817163417541E-3</v>
      </c>
      <c r="E9" s="10">
        <v>5385.87255859375</v>
      </c>
      <c r="F9" s="10">
        <f t="shared" si="1"/>
        <v>3.2088574705274833E-2</v>
      </c>
      <c r="G9" s="4">
        <v>5.2499999999999998E-2</v>
      </c>
      <c r="H9">
        <v>-1.6570765306091952E-2</v>
      </c>
      <c r="I9" s="16">
        <v>13265</v>
      </c>
    </row>
    <row r="10" spans="1:9" ht="16.5" x14ac:dyDescent="0.25">
      <c r="A10" s="1">
        <v>42614</v>
      </c>
      <c r="B10" s="4">
        <v>9</v>
      </c>
      <c r="C10" s="10">
        <v>18308.150390625</v>
      </c>
      <c r="D10" s="10">
        <f t="shared" si="0"/>
        <v>-5.0521990276247309E-3</v>
      </c>
      <c r="E10" s="10">
        <v>5364.59521484375</v>
      </c>
      <c r="F10" s="10">
        <f t="shared" si="1"/>
        <v>-3.9584085048751513E-3</v>
      </c>
      <c r="G10" s="4">
        <v>0.05</v>
      </c>
      <c r="H10">
        <v>0</v>
      </c>
      <c r="I10" s="15">
        <v>13047</v>
      </c>
    </row>
    <row r="11" spans="1:9" ht="16.5" x14ac:dyDescent="0.25">
      <c r="A11" s="1">
        <v>42644</v>
      </c>
      <c r="B11" s="4">
        <v>10</v>
      </c>
      <c r="C11" s="10">
        <v>18142.419921875</v>
      </c>
      <c r="D11" s="10">
        <f>LN(C11/C10)</f>
        <v>-9.0934989149631818E-3</v>
      </c>
      <c r="E11" s="10">
        <v>5422.3310546875</v>
      </c>
      <c r="F11" s="10">
        <f t="shared" si="1"/>
        <v>1.0704882883397904E-2</v>
      </c>
      <c r="G11" s="4">
        <v>4.7500000000000001E-2</v>
      </c>
      <c r="H11">
        <v>3.7828325042098952E-2</v>
      </c>
      <c r="I11" s="15">
        <v>13047</v>
      </c>
    </row>
    <row r="12" spans="1:9" ht="16.5" x14ac:dyDescent="0.25">
      <c r="A12" s="1">
        <v>42675</v>
      </c>
      <c r="B12" s="4">
        <v>11</v>
      </c>
      <c r="C12" s="10">
        <v>19123.580078125</v>
      </c>
      <c r="D12" s="10">
        <f t="shared" si="0"/>
        <v>5.2669294356704692E-2</v>
      </c>
      <c r="E12" s="10">
        <v>5148.91015625</v>
      </c>
      <c r="F12" s="10">
        <f t="shared" si="1"/>
        <v>-5.1740734747359039E-2</v>
      </c>
      <c r="G12" s="4">
        <v>4.7500000000000001E-2</v>
      </c>
      <c r="H12">
        <v>-5.9215569034373212E-3</v>
      </c>
      <c r="I12" s="16">
        <v>13550</v>
      </c>
    </row>
    <row r="13" spans="1:9" ht="16.5" x14ac:dyDescent="0.25">
      <c r="A13" s="1">
        <v>42705</v>
      </c>
      <c r="B13" s="4">
        <v>12</v>
      </c>
      <c r="C13" s="10">
        <v>19762.599609375</v>
      </c>
      <c r="D13" s="10">
        <f t="shared" si="0"/>
        <v>3.2869110170157846E-2</v>
      </c>
      <c r="E13" s="10">
        <v>5296.7109375</v>
      </c>
      <c r="F13" s="10">
        <f t="shared" si="1"/>
        <v>2.8300977954452605E-2</v>
      </c>
      <c r="G13" s="4">
        <v>4.7500000000000001E-2</v>
      </c>
      <c r="H13">
        <v>-9.1733499302581612E-3</v>
      </c>
      <c r="I13" s="15">
        <v>13470</v>
      </c>
    </row>
    <row r="14" spans="1:9" ht="16.5" x14ac:dyDescent="0.25">
      <c r="A14" s="1">
        <v>42736</v>
      </c>
      <c r="B14" s="4">
        <v>13</v>
      </c>
      <c r="C14" s="10">
        <v>19864.08984375</v>
      </c>
      <c r="D14" s="10">
        <f t="shared" si="0"/>
        <v>5.1223282936842642E-3</v>
      </c>
      <c r="E14" s="10">
        <v>5294.10302734375</v>
      </c>
      <c r="F14" s="10">
        <f t="shared" si="1"/>
        <v>-4.9248532126376773E-4</v>
      </c>
      <c r="G14" s="4">
        <v>4.7500000000000001E-2</v>
      </c>
      <c r="H14">
        <v>-1.1994903604745611E-3</v>
      </c>
      <c r="I14" s="15">
        <v>13347</v>
      </c>
    </row>
    <row r="15" spans="1:9" ht="16.5" x14ac:dyDescent="0.25">
      <c r="A15" s="1">
        <v>42767</v>
      </c>
      <c r="B15" s="4">
        <v>14</v>
      </c>
      <c r="C15" s="10">
        <v>20812.240234375</v>
      </c>
      <c r="D15" s="10">
        <f t="shared" si="0"/>
        <v>4.6627715292387274E-2</v>
      </c>
      <c r="E15" s="10">
        <v>5386.69189453125</v>
      </c>
      <c r="F15" s="10">
        <f t="shared" si="1"/>
        <v>1.7337883036075044E-2</v>
      </c>
      <c r="G15" s="4">
        <v>4.7500000000000001E-2</v>
      </c>
      <c r="H15">
        <v>-6.002851534650537E-4</v>
      </c>
      <c r="I15" s="15">
        <v>13331</v>
      </c>
    </row>
    <row r="16" spans="1:9" ht="16.5" x14ac:dyDescent="0.25">
      <c r="A16" s="1">
        <v>42795</v>
      </c>
      <c r="B16" s="4">
        <v>15</v>
      </c>
      <c r="C16" s="10">
        <v>20663.220703125</v>
      </c>
      <c r="D16" s="10">
        <f t="shared" si="0"/>
        <v>-7.1859441286170602E-3</v>
      </c>
      <c r="E16" s="10">
        <v>5568.10595703125</v>
      </c>
      <c r="F16" s="10">
        <f t="shared" si="1"/>
        <v>3.3123504685715448E-2</v>
      </c>
      <c r="G16" s="4">
        <v>4.7500000000000001E-2</v>
      </c>
      <c r="H16">
        <v>3.0018761951495333E-4</v>
      </c>
      <c r="I16" s="15">
        <v>13323</v>
      </c>
    </row>
    <row r="17" spans="1:9" ht="16.5" x14ac:dyDescent="0.25">
      <c r="A17" s="1">
        <v>42826</v>
      </c>
      <c r="B17" s="4">
        <v>16</v>
      </c>
      <c r="C17" s="10">
        <v>20940.509765625</v>
      </c>
      <c r="D17" s="10">
        <f t="shared" si="0"/>
        <v>1.3330206951320809E-2</v>
      </c>
      <c r="E17" s="10">
        <v>5685.2978515625</v>
      </c>
      <c r="F17" s="10">
        <f t="shared" si="1"/>
        <v>2.0828565874948437E-2</v>
      </c>
      <c r="G17" s="4">
        <v>4.7500000000000001E-2</v>
      </c>
      <c r="H17">
        <v>-4.5031522826418356E-4</v>
      </c>
      <c r="I17" s="16">
        <v>13327</v>
      </c>
    </row>
    <row r="18" spans="1:9" ht="16.5" x14ac:dyDescent="0.25">
      <c r="A18" s="1">
        <v>42856</v>
      </c>
      <c r="B18" s="4">
        <v>17</v>
      </c>
      <c r="C18" s="10">
        <v>21008.650390625</v>
      </c>
      <c r="D18" s="10">
        <f t="shared" si="0"/>
        <v>3.2487270151370803E-3</v>
      </c>
      <c r="E18" s="10">
        <v>5738.15478515625</v>
      </c>
      <c r="F18" s="10">
        <f t="shared" si="1"/>
        <v>9.2541742843120882E-3</v>
      </c>
      <c r="G18" s="4">
        <v>4.7500000000000001E-2</v>
      </c>
      <c r="H18">
        <v>3.0023268258254186E-4</v>
      </c>
      <c r="I18" s="15">
        <v>13321</v>
      </c>
    </row>
    <row r="19" spans="1:9" ht="16.5" x14ac:dyDescent="0.25">
      <c r="A19" s="1">
        <v>42887</v>
      </c>
      <c r="B19" s="4">
        <v>18</v>
      </c>
      <c r="C19" s="10">
        <v>21349.630859375</v>
      </c>
      <c r="D19" s="10">
        <f t="shared" si="0"/>
        <v>1.6100173296763026E-2</v>
      </c>
      <c r="E19" s="10">
        <v>5829.7080078125</v>
      </c>
      <c r="F19" s="10">
        <f t="shared" si="1"/>
        <v>1.5829222035341709E-2</v>
      </c>
      <c r="G19" s="4">
        <v>4.7500000000000001E-2</v>
      </c>
      <c r="H19">
        <v>-7.5049720474966395E-5</v>
      </c>
      <c r="I19" s="16">
        <v>13325</v>
      </c>
    </row>
    <row r="20" spans="1:9" ht="16.5" x14ac:dyDescent="0.25">
      <c r="A20" s="1">
        <v>42917</v>
      </c>
      <c r="B20" s="4">
        <v>19</v>
      </c>
      <c r="C20" s="10">
        <v>21891.119140625</v>
      </c>
      <c r="D20" s="10">
        <f t="shared" si="0"/>
        <v>2.5046586318448201E-2</v>
      </c>
      <c r="E20" s="10">
        <v>5840.93896484375</v>
      </c>
      <c r="F20" s="10">
        <f t="shared" si="1"/>
        <v>1.9246508825858202E-3</v>
      </c>
      <c r="G20" s="4">
        <v>4.7500000000000001E-2</v>
      </c>
      <c r="H20">
        <v>1.3500339558904463E-3</v>
      </c>
      <c r="I20" s="15">
        <v>13324</v>
      </c>
    </row>
    <row r="21" spans="1:9" ht="16.5" x14ac:dyDescent="0.25">
      <c r="A21" s="1">
        <v>42948</v>
      </c>
      <c r="B21" s="4">
        <v>20</v>
      </c>
      <c r="C21" s="10">
        <v>21948.099609375</v>
      </c>
      <c r="D21" s="10">
        <f t="shared" si="0"/>
        <v>2.5995217278905599E-3</v>
      </c>
      <c r="E21" s="10">
        <v>5864.05908203125</v>
      </c>
      <c r="F21" s="10">
        <f t="shared" si="1"/>
        <v>3.9504743466153491E-3</v>
      </c>
      <c r="G21" s="4">
        <v>4.4999999999999998E-2</v>
      </c>
      <c r="H21">
        <v>9.5480361349488362E-3</v>
      </c>
      <c r="I21" s="16">
        <v>13342</v>
      </c>
    </row>
    <row r="22" spans="1:9" ht="16.5" x14ac:dyDescent="0.25">
      <c r="A22" s="1">
        <v>42979</v>
      </c>
      <c r="B22" s="4">
        <v>21</v>
      </c>
      <c r="C22" s="10">
        <v>22405.08984375</v>
      </c>
      <c r="D22" s="10">
        <f t="shared" si="0"/>
        <v>2.0607600604193695E-2</v>
      </c>
      <c r="E22" s="10">
        <v>5900.85400390625</v>
      </c>
      <c r="F22" s="10">
        <f t="shared" si="1"/>
        <v>6.2550469476152348E-3</v>
      </c>
      <c r="G22" s="4">
        <v>4.2500000000000003E-2</v>
      </c>
      <c r="H22">
        <v>6.659292089976997E-3</v>
      </c>
      <c r="I22" s="16">
        <v>13470</v>
      </c>
    </row>
    <row r="23" spans="1:9" ht="16.5" x14ac:dyDescent="0.25">
      <c r="A23" s="1">
        <v>43009</v>
      </c>
      <c r="B23" s="4">
        <v>22</v>
      </c>
      <c r="C23" s="10">
        <v>23377.240234375</v>
      </c>
      <c r="D23" s="10">
        <f t="shared" si="0"/>
        <v>4.2474751269563273E-2</v>
      </c>
      <c r="E23" s="10">
        <v>6005.7841796875</v>
      </c>
      <c r="F23" s="10">
        <f t="shared" si="1"/>
        <v>1.7625947935818353E-2</v>
      </c>
      <c r="G23" s="4">
        <v>4.2500000000000003E-2</v>
      </c>
      <c r="H23">
        <v>-2.6583976666100001E-3</v>
      </c>
      <c r="I23" s="16">
        <v>13560</v>
      </c>
    </row>
    <row r="24" spans="1:9" ht="16.5" x14ac:dyDescent="0.25">
      <c r="A24" s="1">
        <v>43040</v>
      </c>
      <c r="B24" s="4">
        <v>23</v>
      </c>
      <c r="C24" s="10">
        <v>24272.349609375</v>
      </c>
      <c r="D24" s="10">
        <f t="shared" si="0"/>
        <v>3.7574916830268507E-2</v>
      </c>
      <c r="E24" s="10">
        <v>5952.13818359375</v>
      </c>
      <c r="F24" s="10">
        <f t="shared" si="1"/>
        <v>-8.9725212066362678E-3</v>
      </c>
      <c r="G24" s="4">
        <v>4.2500000000000003E-2</v>
      </c>
      <c r="H24">
        <v>3.0270612652554172E-3</v>
      </c>
      <c r="I24" s="15">
        <v>13524</v>
      </c>
    </row>
    <row r="25" spans="1:9" ht="16.5" x14ac:dyDescent="0.25">
      <c r="A25" s="1">
        <v>43070</v>
      </c>
      <c r="B25" s="4">
        <v>24</v>
      </c>
      <c r="C25" s="10">
        <v>24719.220703125</v>
      </c>
      <c r="D25" s="10">
        <f t="shared" si="0"/>
        <v>1.8243280821569733E-2</v>
      </c>
      <c r="E25" s="10">
        <v>6355.65380859375</v>
      </c>
      <c r="F25" s="10">
        <f t="shared" si="1"/>
        <v>6.5594266733268125E-2</v>
      </c>
      <c r="G25" s="4">
        <v>4.2500000000000003E-2</v>
      </c>
      <c r="H25">
        <v>-1.3208859307134417E-2</v>
      </c>
      <c r="I25" s="16">
        <v>13565</v>
      </c>
    </row>
    <row r="26" spans="1:9" ht="16.5" x14ac:dyDescent="0.25">
      <c r="A26" s="1">
        <v>43101</v>
      </c>
      <c r="B26" s="4">
        <v>25</v>
      </c>
      <c r="C26" s="10">
        <v>26149.390625</v>
      </c>
      <c r="D26" s="10">
        <f>LN(C26/C25)</f>
        <v>5.6244780042059989E-2</v>
      </c>
      <c r="E26" s="10">
        <v>6605.630859375</v>
      </c>
      <c r="F26" s="10">
        <f t="shared" si="1"/>
        <v>3.8577665485023178E-2</v>
      </c>
      <c r="G26" s="4">
        <v>4.2500000000000003E-2</v>
      </c>
      <c r="H26">
        <v>2.6027199990442531E-2</v>
      </c>
      <c r="I26" s="15">
        <v>13387</v>
      </c>
    </row>
    <row r="27" spans="1:9" ht="16.5" x14ac:dyDescent="0.25">
      <c r="A27" s="1">
        <v>43132</v>
      </c>
      <c r="B27" s="4">
        <v>26</v>
      </c>
      <c r="C27" s="10">
        <v>25029.19921875</v>
      </c>
      <c r="D27" s="10">
        <f t="shared" si="0"/>
        <v>-4.3782775106807267E-2</v>
      </c>
      <c r="E27" s="10">
        <v>6597.2177734375</v>
      </c>
      <c r="F27" s="10">
        <f t="shared" si="1"/>
        <v>-1.2744351329290547E-3</v>
      </c>
      <c r="G27" s="4">
        <v>4.2500000000000003E-2</v>
      </c>
      <c r="H27">
        <v>1.4545457109943617E-3</v>
      </c>
      <c r="I27" s="16">
        <v>13740</v>
      </c>
    </row>
    <row r="28" spans="1:9" ht="16.5" x14ac:dyDescent="0.25">
      <c r="A28" s="1">
        <v>43160</v>
      </c>
      <c r="B28" s="4">
        <v>27</v>
      </c>
      <c r="C28" s="10">
        <v>24103.109375</v>
      </c>
      <c r="D28" s="10">
        <f t="shared" si="0"/>
        <v>-3.7702260189504781E-2</v>
      </c>
      <c r="E28" s="10">
        <v>6188.98681640625</v>
      </c>
      <c r="F28" s="10">
        <f t="shared" si="1"/>
        <v>-6.3876618086712078E-2</v>
      </c>
      <c r="G28" s="4">
        <v>4.2500000000000003E-2</v>
      </c>
      <c r="H28">
        <v>1.0842173430153904E-2</v>
      </c>
      <c r="I28" s="16">
        <v>13760</v>
      </c>
    </row>
    <row r="29" spans="1:9" ht="16.5" x14ac:dyDescent="0.25">
      <c r="A29" s="1">
        <v>43191</v>
      </c>
      <c r="B29" s="4">
        <v>28</v>
      </c>
      <c r="C29" s="10">
        <v>24163.150390625</v>
      </c>
      <c r="D29" s="10">
        <f t="shared" si="0"/>
        <v>2.4879096447984828E-3</v>
      </c>
      <c r="E29" s="10">
        <v>5994.59521484375</v>
      </c>
      <c r="F29" s="10">
        <f t="shared" si="1"/>
        <v>-3.1913126849430665E-2</v>
      </c>
      <c r="G29" s="4">
        <v>4.4999999999999998E-2</v>
      </c>
      <c r="H29">
        <v>-1.4388491690991783E-3</v>
      </c>
      <c r="I29" s="16">
        <v>13910</v>
      </c>
    </row>
    <row r="30" spans="1:9" ht="16.5" x14ac:dyDescent="0.25">
      <c r="A30" s="1">
        <v>43221</v>
      </c>
      <c r="B30" s="4">
        <v>29</v>
      </c>
      <c r="C30" s="10">
        <v>24415.83984375</v>
      </c>
      <c r="D30" s="10">
        <f t="shared" si="0"/>
        <v>1.040333407246884E-2</v>
      </c>
      <c r="E30" s="10">
        <v>5983.5869140625</v>
      </c>
      <c r="F30" s="10">
        <f t="shared" si="1"/>
        <v>-1.8380591916271618E-3</v>
      </c>
      <c r="G30" s="4">
        <v>4.7500000000000001E-2</v>
      </c>
      <c r="H30">
        <v>3.083710583455088E-2</v>
      </c>
      <c r="I30" s="15">
        <v>13890</v>
      </c>
    </row>
    <row r="31" spans="1:9" ht="16.5" x14ac:dyDescent="0.25">
      <c r="A31" s="1">
        <v>43252</v>
      </c>
      <c r="B31" s="4">
        <v>30</v>
      </c>
      <c r="C31" s="10">
        <v>24271.41015625</v>
      </c>
      <c r="D31" s="10">
        <f t="shared" si="0"/>
        <v>-5.9329746971717974E-3</v>
      </c>
      <c r="E31" s="10">
        <v>5799.23681640625</v>
      </c>
      <c r="F31" s="10">
        <f t="shared" si="1"/>
        <v>-3.1293881032194777E-2</v>
      </c>
      <c r="G31" s="4">
        <v>5.2499999999999998E-2</v>
      </c>
      <c r="H31">
        <v>6.2630684895622728E-3</v>
      </c>
      <c r="I31" s="16">
        <v>14325</v>
      </c>
    </row>
    <row r="32" spans="1:9" ht="16.5" x14ac:dyDescent="0.25">
      <c r="A32" s="1">
        <v>43282</v>
      </c>
      <c r="B32" s="4">
        <v>31</v>
      </c>
      <c r="C32" s="10">
        <v>25415.189453125</v>
      </c>
      <c r="D32" s="10">
        <f t="shared" si="0"/>
        <v>4.6047884349415216E-2</v>
      </c>
      <c r="E32" s="10">
        <v>5936.44287109375</v>
      </c>
      <c r="F32" s="10">
        <f t="shared" si="1"/>
        <v>2.338378522981881E-2</v>
      </c>
      <c r="G32" s="4">
        <v>5.2499999999999998E-2</v>
      </c>
      <c r="H32">
        <v>2.1277398447284879E-2</v>
      </c>
      <c r="I32" s="16">
        <v>14415</v>
      </c>
    </row>
    <row r="33" spans="1:9" ht="16.5" x14ac:dyDescent="0.25">
      <c r="A33" s="1">
        <v>43313</v>
      </c>
      <c r="B33" s="4">
        <v>32</v>
      </c>
      <c r="C33" s="10">
        <v>25964.8203125</v>
      </c>
      <c r="D33" s="10">
        <f t="shared" si="0"/>
        <v>2.139555164541989E-2</v>
      </c>
      <c r="E33" s="10">
        <v>6018.4599609375</v>
      </c>
      <c r="F33" s="10">
        <f t="shared" si="1"/>
        <v>1.3721295404715523E-2</v>
      </c>
      <c r="G33" s="4">
        <v>5.5E-2</v>
      </c>
      <c r="H33">
        <v>1.1814483413763056E-2</v>
      </c>
      <c r="I33" s="16">
        <v>14725</v>
      </c>
    </row>
    <row r="34" spans="1:9" ht="16.5" x14ac:dyDescent="0.25">
      <c r="A34" s="1">
        <v>43344</v>
      </c>
      <c r="B34" s="4">
        <v>33</v>
      </c>
      <c r="C34" s="10">
        <v>26458.310546875</v>
      </c>
      <c r="D34" s="10">
        <f t="shared" si="0"/>
        <v>1.8827750425146214E-2</v>
      </c>
      <c r="E34" s="10">
        <v>5976.55322265625</v>
      </c>
      <c r="F34" s="10">
        <f t="shared" si="1"/>
        <v>-6.9873885326907368E-3</v>
      </c>
      <c r="G34" s="4">
        <v>5.7500000000000002E-2</v>
      </c>
      <c r="H34">
        <v>1.9934214900817329E-2</v>
      </c>
      <c r="I34" s="16">
        <v>14900</v>
      </c>
    </row>
    <row r="35" spans="1:9" ht="16.5" x14ac:dyDescent="0.25">
      <c r="A35" s="1">
        <v>43374</v>
      </c>
      <c r="B35" s="4">
        <v>34</v>
      </c>
      <c r="C35" s="10">
        <v>25115.759765625</v>
      </c>
      <c r="D35" s="10">
        <f>LN(C35/C34)</f>
        <v>-5.2074779111215046E-2</v>
      </c>
      <c r="E35" s="10">
        <v>5831.64990234375</v>
      </c>
      <c r="F35" s="10">
        <f t="shared" si="1"/>
        <v>-2.4544055175995453E-2</v>
      </c>
      <c r="G35" s="4">
        <v>5.7500000000000002E-2</v>
      </c>
      <c r="H35">
        <v>-6.1035890586369129E-2</v>
      </c>
      <c r="I35" s="16">
        <v>15200</v>
      </c>
    </row>
    <row r="36" spans="1:9" ht="16.5" x14ac:dyDescent="0.25">
      <c r="A36" s="1">
        <v>43405</v>
      </c>
      <c r="B36" s="4">
        <v>35</v>
      </c>
      <c r="C36" s="10">
        <v>25538.4609375</v>
      </c>
      <c r="D36" s="10">
        <f t="shared" si="0"/>
        <v>1.6690059710637445E-2</v>
      </c>
      <c r="E36" s="10">
        <v>6056.1240234375</v>
      </c>
      <c r="F36" s="10">
        <f t="shared" si="1"/>
        <v>3.7770032914865644E-2</v>
      </c>
      <c r="G36" s="4">
        <v>0.06</v>
      </c>
      <c r="H36">
        <v>5.2310494175525028E-3</v>
      </c>
      <c r="I36" s="15">
        <v>14300</v>
      </c>
    </row>
    <row r="37" spans="1:9" ht="16.5" x14ac:dyDescent="0.25">
      <c r="A37" s="1">
        <v>43435</v>
      </c>
      <c r="B37" s="4">
        <v>36</v>
      </c>
      <c r="C37" s="10">
        <v>23327.4609375</v>
      </c>
      <c r="D37" s="10">
        <f t="shared" si="0"/>
        <v>-9.0554340324461344E-2</v>
      </c>
      <c r="E37" s="10">
        <v>6194.498046875</v>
      </c>
      <c r="F37" s="10">
        <f t="shared" si="1"/>
        <v>2.2591490916741546E-2</v>
      </c>
      <c r="G37" s="4">
        <v>0.06</v>
      </c>
      <c r="H37">
        <v>-2.8578413414543698E-2</v>
      </c>
      <c r="I37" s="16">
        <v>14375</v>
      </c>
    </row>
    <row r="38" spans="1:9" ht="16.5" x14ac:dyDescent="0.25">
      <c r="A38" s="1">
        <v>43466</v>
      </c>
      <c r="B38" s="4">
        <v>37</v>
      </c>
      <c r="C38" s="10">
        <v>24999.669921875</v>
      </c>
      <c r="D38" s="10">
        <f t="shared" si="0"/>
        <v>6.9231374057174971E-2</v>
      </c>
      <c r="E38" s="10">
        <v>6532.96923828125</v>
      </c>
      <c r="F38" s="10">
        <f t="shared" si="1"/>
        <v>5.3200060907206199E-2</v>
      </c>
      <c r="G38" s="4">
        <v>0.06</v>
      </c>
      <c r="H38">
        <v>6.4217131136485054E-3</v>
      </c>
      <c r="I38" s="15">
        <v>13970</v>
      </c>
    </row>
    <row r="39" spans="1:9" ht="16.5" x14ac:dyDescent="0.25">
      <c r="A39" s="1">
        <v>43497</v>
      </c>
      <c r="B39" s="4">
        <v>38</v>
      </c>
      <c r="C39" s="10">
        <v>25916</v>
      </c>
      <c r="D39" s="10">
        <f t="shared" si="0"/>
        <v>3.5997916931672161E-2</v>
      </c>
      <c r="E39" s="10">
        <v>6443.34814453125</v>
      </c>
      <c r="F39" s="10">
        <f t="shared" si="1"/>
        <v>-1.3813243945805236E-2</v>
      </c>
      <c r="G39" s="4">
        <v>0.06</v>
      </c>
      <c r="H39">
        <v>1.2369834347482098E-2</v>
      </c>
      <c r="I39" s="16">
        <v>14060</v>
      </c>
    </row>
    <row r="40" spans="1:9" ht="16.5" x14ac:dyDescent="0.25">
      <c r="A40" s="1">
        <v>43525</v>
      </c>
      <c r="B40" s="4">
        <v>39</v>
      </c>
      <c r="C40" s="10">
        <v>25928.6796875</v>
      </c>
      <c r="D40" s="10">
        <f t="shared" si="0"/>
        <v>4.8914132864689747E-4</v>
      </c>
      <c r="E40" s="10">
        <v>6468.7548828125</v>
      </c>
      <c r="F40" s="10">
        <f t="shared" si="1"/>
        <v>3.9353420611306115E-3</v>
      </c>
      <c r="G40" s="4">
        <v>0.06</v>
      </c>
      <c r="H40">
        <v>7.0224721987072842E-4</v>
      </c>
      <c r="I40" s="16">
        <v>14235</v>
      </c>
    </row>
    <row r="41" spans="1:9" ht="16.5" x14ac:dyDescent="0.25">
      <c r="A41" s="1">
        <v>43556</v>
      </c>
      <c r="B41" s="4">
        <v>40</v>
      </c>
      <c r="C41" s="10">
        <v>26592.91015625</v>
      </c>
      <c r="D41" s="10">
        <f t="shared" si="0"/>
        <v>2.5294964865078519E-2</v>
      </c>
      <c r="E41" s="10">
        <v>6455.35205078125</v>
      </c>
      <c r="F41" s="10">
        <f t="shared" si="1"/>
        <v>-2.0740832468860303E-3</v>
      </c>
      <c r="G41" s="4">
        <v>0.06</v>
      </c>
      <c r="H41">
        <v>1.7534635388733286E-3</v>
      </c>
      <c r="I41" s="16">
        <v>14245</v>
      </c>
    </row>
    <row r="42" spans="1:9" ht="16.5" x14ac:dyDescent="0.25">
      <c r="A42" s="1">
        <v>43586</v>
      </c>
      <c r="B42" s="4">
        <v>41</v>
      </c>
      <c r="C42" s="10">
        <v>24815.0390625</v>
      </c>
      <c r="D42" s="10">
        <f t="shared" si="0"/>
        <v>-6.9194761594570692E-2</v>
      </c>
      <c r="E42" s="10">
        <v>6209.1171875</v>
      </c>
      <c r="F42" s="10">
        <f t="shared" si="1"/>
        <v>-3.8890836032533752E-2</v>
      </c>
      <c r="G42" s="4">
        <v>0.06</v>
      </c>
      <c r="H42">
        <v>-1.0213154456240407E-2</v>
      </c>
      <c r="I42" s="16">
        <v>14270</v>
      </c>
    </row>
    <row r="43" spans="1:9" ht="16.5" x14ac:dyDescent="0.25">
      <c r="A43" s="1">
        <v>43617</v>
      </c>
      <c r="B43" s="4">
        <v>42</v>
      </c>
      <c r="C43" s="10">
        <v>26599.9609375</v>
      </c>
      <c r="D43" s="10">
        <f t="shared" si="0"/>
        <v>6.9459864084672071E-2</v>
      </c>
      <c r="E43" s="10">
        <v>6358.62890625</v>
      </c>
      <c r="F43" s="10">
        <f t="shared" si="1"/>
        <v>2.3794047315996988E-2</v>
      </c>
      <c r="G43" s="4">
        <v>0.06</v>
      </c>
      <c r="H43">
        <v>-8.0321716972642666E-3</v>
      </c>
      <c r="I43" s="15">
        <v>14125</v>
      </c>
    </row>
    <row r="44" spans="1:9" ht="16.5" x14ac:dyDescent="0.25">
      <c r="A44" s="1">
        <v>43647</v>
      </c>
      <c r="B44" s="4">
        <v>43</v>
      </c>
      <c r="C44" s="10">
        <v>26864.26953125</v>
      </c>
      <c r="D44" s="10">
        <f t="shared" si="0"/>
        <v>9.8873861896853609E-3</v>
      </c>
      <c r="E44" s="10">
        <v>6390.5048828125</v>
      </c>
      <c r="F44" s="10">
        <f t="shared" si="1"/>
        <v>5.0005033301123488E-3</v>
      </c>
      <c r="G44" s="4">
        <v>5.7500000000000002E-2</v>
      </c>
      <c r="H44">
        <v>1.1918415768741156E-2</v>
      </c>
      <c r="I44" s="15">
        <v>14012</v>
      </c>
    </row>
    <row r="45" spans="1:9" ht="16.5" x14ac:dyDescent="0.25">
      <c r="A45" s="1">
        <v>43678</v>
      </c>
      <c r="B45" s="4">
        <v>44</v>
      </c>
      <c r="C45" s="10">
        <v>26403.279296875</v>
      </c>
      <c r="D45" s="10">
        <f t="shared" si="0"/>
        <v>-1.7308915232375228E-2</v>
      </c>
      <c r="E45" s="10">
        <v>6328.47021484375</v>
      </c>
      <c r="F45" s="10">
        <f t="shared" si="1"/>
        <v>-9.7547419348937361E-3</v>
      </c>
      <c r="G45" s="4">
        <v>5.5E-2</v>
      </c>
      <c r="H45">
        <v>7.0497006796996025E-4</v>
      </c>
      <c r="I45" s="16">
        <v>14180</v>
      </c>
    </row>
    <row r="46" spans="1:9" ht="16.5" x14ac:dyDescent="0.25">
      <c r="A46" s="1">
        <v>43709</v>
      </c>
      <c r="B46" s="4">
        <v>45</v>
      </c>
      <c r="C46" s="10">
        <v>26916.830078125</v>
      </c>
      <c r="D46" s="10">
        <f t="shared" si="0"/>
        <v>1.9263526201312015E-2</v>
      </c>
      <c r="E46" s="10">
        <v>6169.10205078125</v>
      </c>
      <c r="F46" s="10">
        <f t="shared" si="1"/>
        <v>-2.5505242121388088E-2</v>
      </c>
      <c r="G46" s="4">
        <v>5.2499999999999998E-2</v>
      </c>
      <c r="H46">
        <v>-1.1197055542124027E-2</v>
      </c>
      <c r="I46" s="16">
        <v>14190</v>
      </c>
    </row>
    <row r="47" spans="1:9" ht="16.5" x14ac:dyDescent="0.25">
      <c r="A47" s="1">
        <v>43739</v>
      </c>
      <c r="B47" s="4">
        <v>46</v>
      </c>
      <c r="C47" s="10">
        <v>27046.23046875</v>
      </c>
      <c r="D47" s="10">
        <f t="shared" si="0"/>
        <v>4.7958969464559137E-3</v>
      </c>
      <c r="E47" s="10">
        <v>6228.31689453125</v>
      </c>
      <c r="F47" s="10">
        <f t="shared" si="1"/>
        <v>9.5528423010631195E-3</v>
      </c>
      <c r="G47" s="4">
        <v>0.05</v>
      </c>
      <c r="H47">
        <v>4.8343617542952882E-3</v>
      </c>
      <c r="I47" s="15">
        <v>14032</v>
      </c>
    </row>
    <row r="48" spans="1:9" ht="16.5" x14ac:dyDescent="0.25">
      <c r="A48" s="1">
        <v>43770</v>
      </c>
      <c r="B48" s="4">
        <v>47</v>
      </c>
      <c r="C48" s="10">
        <v>28051.41015625</v>
      </c>
      <c r="D48" s="10">
        <f>LN(C48/C47)</f>
        <v>3.6491262278536593E-2</v>
      </c>
      <c r="E48" s="10">
        <v>6011.830078125</v>
      </c>
      <c r="F48" s="10">
        <f t="shared" si="1"/>
        <v>-3.5376927201376737E-2</v>
      </c>
      <c r="G48" s="4">
        <v>0.05</v>
      </c>
      <c r="H48">
        <v>-1.5725842305464175E-2</v>
      </c>
      <c r="I48" s="16">
        <v>14100</v>
      </c>
    </row>
    <row r="49" spans="1:9" ht="16.5" x14ac:dyDescent="0.25">
      <c r="A49" s="1">
        <v>43800</v>
      </c>
      <c r="B49" s="4">
        <v>48</v>
      </c>
      <c r="C49" s="10">
        <v>28538.439453125</v>
      </c>
      <c r="D49" s="10">
        <f t="shared" si="0"/>
        <v>1.7213027610729972E-2</v>
      </c>
      <c r="E49" s="10">
        <v>6299.5390625</v>
      </c>
      <c r="F49" s="10">
        <f t="shared" si="1"/>
        <v>4.6747258331911824E-2</v>
      </c>
      <c r="G49" s="4">
        <v>0.05</v>
      </c>
      <c r="H49">
        <v>-1.6709433447689718E-2</v>
      </c>
      <c r="I49" s="15">
        <v>13880</v>
      </c>
    </row>
    <row r="50" spans="1:9" ht="16.5" x14ac:dyDescent="0.25">
      <c r="A50" s="1">
        <v>43831</v>
      </c>
      <c r="B50" s="4">
        <v>49</v>
      </c>
      <c r="C50" s="10">
        <v>28256.029296875</v>
      </c>
      <c r="D50" s="10">
        <f t="shared" si="0"/>
        <v>-9.9450700075611465E-3</v>
      </c>
      <c r="E50" s="10">
        <v>5940.0478515625</v>
      </c>
      <c r="F50" s="10">
        <f t="shared" si="1"/>
        <v>-5.8759276877573104E-2</v>
      </c>
      <c r="G50" s="4">
        <v>0.05</v>
      </c>
      <c r="H50">
        <v>4.9313313540505603E-2</v>
      </c>
      <c r="I50" s="15">
        <v>13650</v>
      </c>
    </row>
    <row r="51" spans="1:9" ht="16.5" x14ac:dyDescent="0.25">
      <c r="A51" s="1">
        <v>43862</v>
      </c>
      <c r="B51" s="4">
        <v>50</v>
      </c>
      <c r="C51" s="10">
        <v>25409.359375</v>
      </c>
      <c r="D51" s="10">
        <f t="shared" si="0"/>
        <v>-0.10618927577495749</v>
      </c>
      <c r="E51" s="10">
        <v>5452.7041015625</v>
      </c>
      <c r="F51" s="10">
        <f t="shared" si="1"/>
        <v>-8.5605538110607574E-2</v>
      </c>
      <c r="G51" s="4">
        <v>4.7500000000000001E-2</v>
      </c>
      <c r="H51">
        <v>0.12811227264124236</v>
      </c>
      <c r="I51" s="16">
        <v>14340</v>
      </c>
    </row>
    <row r="52" spans="1:9" ht="16.5" x14ac:dyDescent="0.25">
      <c r="A52" s="11">
        <v>43891</v>
      </c>
      <c r="B52" s="12">
        <v>51</v>
      </c>
      <c r="C52" s="13">
        <v>21917.16015625</v>
      </c>
      <c r="D52" s="13">
        <f t="shared" si="0"/>
        <v>-0.14784768671211374</v>
      </c>
      <c r="E52" s="13">
        <v>4538.93017578125</v>
      </c>
      <c r="F52" s="13">
        <f t="shared" si="1"/>
        <v>-0.18342031086632396</v>
      </c>
      <c r="G52" s="12">
        <v>4.4999999999999998E-2</v>
      </c>
      <c r="H52">
        <v>-9.4850162928927534E-2</v>
      </c>
      <c r="I52" s="16">
        <v>16300</v>
      </c>
    </row>
    <row r="53" spans="1:9" ht="16.5" x14ac:dyDescent="0.25">
      <c r="A53" s="1">
        <v>43922</v>
      </c>
      <c r="B53" s="4">
        <v>52</v>
      </c>
      <c r="C53" s="10">
        <v>24345.720703125</v>
      </c>
      <c r="D53" s="10">
        <f t="shared" si="0"/>
        <v>0.10508619416830081</v>
      </c>
      <c r="E53" s="10">
        <v>4716.40283203125</v>
      </c>
      <c r="F53" s="10">
        <f t="shared" si="1"/>
        <v>3.8355057001026358E-2</v>
      </c>
      <c r="G53" s="4">
        <v>4.4999999999999998E-2</v>
      </c>
      <c r="H53">
        <v>-1.7007212647233112E-2</v>
      </c>
      <c r="I53" s="15">
        <v>14825</v>
      </c>
    </row>
    <row r="54" spans="1:9" ht="16.5" x14ac:dyDescent="0.25">
      <c r="A54" s="1">
        <v>43952</v>
      </c>
      <c r="B54" s="4">
        <v>53</v>
      </c>
      <c r="C54" s="10">
        <v>25383.109375</v>
      </c>
      <c r="D54" s="10">
        <f t="shared" si="0"/>
        <v>4.1727874647968899E-2</v>
      </c>
      <c r="E54" s="10">
        <v>4753.61181640625</v>
      </c>
      <c r="F54" s="10">
        <f t="shared" si="1"/>
        <v>7.8583143188271521E-3</v>
      </c>
      <c r="G54" s="4">
        <v>4.4999999999999998E-2</v>
      </c>
      <c r="H54">
        <v>-2.7475211132574617E-2</v>
      </c>
      <c r="I54" s="15">
        <v>14575</v>
      </c>
    </row>
    <row r="55" spans="1:9" ht="16.5" x14ac:dyDescent="0.25">
      <c r="A55" s="1">
        <v>43983</v>
      </c>
      <c r="B55" s="4">
        <v>54</v>
      </c>
      <c r="C55" s="10">
        <v>25812.880859375</v>
      </c>
      <c r="D55" s="10">
        <f t="shared" si="0"/>
        <v>1.6789657867495512E-2</v>
      </c>
      <c r="E55" s="10">
        <v>4905.39208984375</v>
      </c>
      <c r="F55" s="10">
        <f t="shared" si="1"/>
        <v>3.1430315086252186E-2</v>
      </c>
      <c r="G55" s="4">
        <v>4.2500000000000003E-2</v>
      </c>
      <c r="H55">
        <v>2.4382956478210167E-2</v>
      </c>
      <c r="I55" s="15">
        <v>14180</v>
      </c>
    </row>
    <row r="56" spans="1:9" ht="16.5" x14ac:dyDescent="0.25">
      <c r="A56" s="1">
        <v>44013</v>
      </c>
      <c r="B56" s="4">
        <v>55</v>
      </c>
      <c r="C56" s="10">
        <v>26428.3203125</v>
      </c>
      <c r="D56" s="10">
        <f t="shared" ref="D56:D58" si="2">LN(C56/C55)</f>
        <v>2.3562548833666083E-2</v>
      </c>
      <c r="E56" s="10">
        <v>5149.626953125</v>
      </c>
      <c r="F56" s="10">
        <f>LN(E56/E55)</f>
        <v>4.858924917571994E-2</v>
      </c>
      <c r="G56" s="4">
        <v>0.04</v>
      </c>
      <c r="H56">
        <v>2.0625651863483241E-3</v>
      </c>
      <c r="I56" s="16">
        <v>14530</v>
      </c>
    </row>
    <row r="57" spans="1:9" ht="16.5" x14ac:dyDescent="0.25">
      <c r="A57" s="1">
        <v>44044</v>
      </c>
      <c r="B57" s="4">
        <v>56</v>
      </c>
      <c r="C57" s="10">
        <v>28430.05078125</v>
      </c>
      <c r="D57" s="10">
        <f t="shared" si="2"/>
        <v>7.3010537557999688E-2</v>
      </c>
      <c r="E57" s="10">
        <v>5238.48681640625</v>
      </c>
      <c r="F57" s="10">
        <f t="shared" si="1"/>
        <v>1.7108405368685665E-2</v>
      </c>
      <c r="G57" s="4">
        <v>0.04</v>
      </c>
      <c r="H57">
        <v>1.9048194970694411E-2</v>
      </c>
      <c r="I57" s="16">
        <v>14560</v>
      </c>
    </row>
    <row r="58" spans="1:9" ht="16.5" x14ac:dyDescent="0.25">
      <c r="A58" s="1">
        <v>44075</v>
      </c>
      <c r="B58" s="4">
        <v>57</v>
      </c>
      <c r="C58" s="10">
        <v>27781.69921875</v>
      </c>
      <c r="D58" s="10">
        <f t="shared" si="2"/>
        <v>-2.306920940946515E-2</v>
      </c>
      <c r="E58" s="10">
        <v>4870.0390625</v>
      </c>
      <c r="F58" s="10">
        <f t="shared" ref="F58:F109" si="3">LN(E58/E57)</f>
        <v>-7.2930723024730248E-2</v>
      </c>
      <c r="G58" s="4">
        <v>0.04</v>
      </c>
      <c r="H58">
        <v>-1.4935783417601926E-2</v>
      </c>
      <c r="I58" s="16">
        <v>14840</v>
      </c>
    </row>
    <row r="59" spans="1:9" ht="16.5" x14ac:dyDescent="0.25">
      <c r="A59" s="1">
        <v>44105</v>
      </c>
      <c r="B59" s="4">
        <v>58</v>
      </c>
      <c r="C59" s="10">
        <v>26501.599609375</v>
      </c>
      <c r="D59" s="10">
        <f>LN(C59/C58)</f>
        <v>-4.7172408648864052E-2</v>
      </c>
      <c r="E59" s="10">
        <v>5128.22509765625</v>
      </c>
      <c r="F59" s="10">
        <f t="shared" si="3"/>
        <v>5.1657656344219219E-2</v>
      </c>
      <c r="G59" s="4">
        <v>0.04</v>
      </c>
      <c r="H59">
        <v>-3.692512841104359E-2</v>
      </c>
      <c r="I59" s="15">
        <v>14620</v>
      </c>
    </row>
    <row r="60" spans="1:9" ht="16.5" x14ac:dyDescent="0.25">
      <c r="A60" s="1">
        <v>44136</v>
      </c>
      <c r="B60" s="4">
        <v>59</v>
      </c>
      <c r="C60" s="10">
        <v>29638.640625</v>
      </c>
      <c r="D60" s="10">
        <f t="shared" ref="D60:D109" si="4">LN(C60/C59)</f>
        <v>0.11187384273355079</v>
      </c>
      <c r="E60" s="10">
        <v>5612.4150390625</v>
      </c>
      <c r="F60" s="10">
        <f t="shared" si="3"/>
        <v>9.0221500693781556E-2</v>
      </c>
      <c r="G60" s="4">
        <v>3.7499999999999999E-2</v>
      </c>
      <c r="H60">
        <v>-3.5549273129238338E-3</v>
      </c>
      <c r="I60" s="15">
        <v>14090</v>
      </c>
    </row>
    <row r="61" spans="1:9" ht="16.5" x14ac:dyDescent="0.25">
      <c r="A61" s="1">
        <v>44166</v>
      </c>
      <c r="B61" s="4">
        <v>60</v>
      </c>
      <c r="C61" s="10">
        <v>30606.48046875</v>
      </c>
      <c r="D61" s="10">
        <f t="shared" si="4"/>
        <v>3.2132830038718994E-2</v>
      </c>
      <c r="E61" s="10">
        <v>5979.0732421875</v>
      </c>
      <c r="F61" s="10">
        <f t="shared" si="3"/>
        <v>6.3284464582099714E-2</v>
      </c>
      <c r="G61" s="4">
        <v>3.7499999999999999E-2</v>
      </c>
      <c r="H61">
        <v>-1.4255169912210611E-3</v>
      </c>
      <c r="I61" s="15">
        <v>14040</v>
      </c>
    </row>
    <row r="62" spans="1:9" ht="16.5" x14ac:dyDescent="0.25">
      <c r="A62" s="1">
        <v>44197</v>
      </c>
      <c r="B62" s="4">
        <v>61</v>
      </c>
      <c r="C62" s="10">
        <v>29982.619140625</v>
      </c>
      <c r="D62" s="10">
        <f t="shared" si="4"/>
        <v>-2.0593914772634985E-2</v>
      </c>
      <c r="E62" s="10">
        <v>5862.35205078125</v>
      </c>
      <c r="F62" s="10">
        <f t="shared" si="3"/>
        <v>-1.9714682816219405E-2</v>
      </c>
      <c r="G62" s="4">
        <v>3.7499999999999999E-2</v>
      </c>
      <c r="H62">
        <v>1.5570024377385659E-2</v>
      </c>
      <c r="I62" s="15">
        <v>14020</v>
      </c>
    </row>
    <row r="63" spans="1:9" ht="16.5" x14ac:dyDescent="0.25">
      <c r="A63" s="1">
        <v>44228</v>
      </c>
      <c r="B63" s="4">
        <v>62</v>
      </c>
      <c r="C63" s="10">
        <v>30932.369140625</v>
      </c>
      <c r="D63" s="10">
        <f t="shared" si="4"/>
        <v>3.1185328827365095E-2</v>
      </c>
      <c r="E63" s="10">
        <v>6241.7958984375</v>
      </c>
      <c r="F63" s="10">
        <f t="shared" si="3"/>
        <v>6.2717048296981354E-2</v>
      </c>
      <c r="G63" s="4">
        <v>3.5000000000000003E-2</v>
      </c>
      <c r="H63">
        <v>1.9472103412820314E-2</v>
      </c>
      <c r="I63" s="16">
        <v>14240</v>
      </c>
    </row>
    <row r="64" spans="1:9" ht="16.5" x14ac:dyDescent="0.25">
      <c r="A64" s="1">
        <v>44256</v>
      </c>
      <c r="B64" s="4">
        <v>63</v>
      </c>
      <c r="C64" s="10">
        <v>32981.55078125</v>
      </c>
      <c r="D64" s="10">
        <f t="shared" si="4"/>
        <v>6.4145157279922801E-2</v>
      </c>
      <c r="E64" s="10">
        <v>5985.52197265625</v>
      </c>
      <c r="F64" s="10">
        <f t="shared" si="3"/>
        <v>-4.192439652695875E-2</v>
      </c>
      <c r="G64" s="4">
        <v>3.5000000000000003E-2</v>
      </c>
      <c r="H64">
        <v>-5.5248759319698037E-3</v>
      </c>
      <c r="I64" s="16">
        <v>14520</v>
      </c>
    </row>
    <row r="65" spans="1:9" ht="16.5" x14ac:dyDescent="0.25">
      <c r="A65" s="1">
        <v>44287</v>
      </c>
      <c r="B65" s="4">
        <v>64</v>
      </c>
      <c r="C65" s="10">
        <v>33874.8515625</v>
      </c>
      <c r="D65" s="10">
        <f t="shared" si="4"/>
        <v>2.6724559376171096E-2</v>
      </c>
      <c r="E65" s="10">
        <v>5995.6162109375</v>
      </c>
      <c r="F65" s="10">
        <f t="shared" si="3"/>
        <v>1.6850219928942751E-3</v>
      </c>
      <c r="G65" s="4">
        <v>3.5000000000000003E-2</v>
      </c>
      <c r="H65">
        <v>-1.1492377922606231E-2</v>
      </c>
      <c r="I65" s="15">
        <v>14440</v>
      </c>
    </row>
    <row r="66" spans="1:9" ht="16.5" x14ac:dyDescent="0.25">
      <c r="A66" s="1">
        <v>44317</v>
      </c>
      <c r="B66" s="4">
        <v>65</v>
      </c>
      <c r="C66" s="10">
        <v>34529.44921875</v>
      </c>
      <c r="D66" s="10">
        <f t="shared" si="4"/>
        <v>1.9139663199591428E-2</v>
      </c>
      <c r="E66" s="10">
        <v>5947.462890625</v>
      </c>
      <c r="F66" s="10">
        <f t="shared" si="3"/>
        <v>-8.0638469922288489E-3</v>
      </c>
      <c r="G66" s="4">
        <v>3.5000000000000003E-2</v>
      </c>
      <c r="H66">
        <v>1.5294006831544941E-2</v>
      </c>
      <c r="I66" s="15">
        <v>14275</v>
      </c>
    </row>
    <row r="67" spans="1:9" ht="16.5" x14ac:dyDescent="0.25">
      <c r="A67" s="1">
        <v>44348</v>
      </c>
      <c r="B67" s="4">
        <v>66</v>
      </c>
      <c r="C67" s="10">
        <v>34502.51171875</v>
      </c>
      <c r="D67" s="10">
        <f t="shared" si="4"/>
        <v>-7.8043564173544159E-4</v>
      </c>
      <c r="E67" s="10">
        <v>5985.48876953125</v>
      </c>
      <c r="F67" s="10">
        <f t="shared" si="3"/>
        <v>6.3732777442672677E-3</v>
      </c>
      <c r="G67" s="4">
        <v>3.5000000000000003E-2</v>
      </c>
      <c r="H67">
        <v>-2.4175456430002387E-3</v>
      </c>
      <c r="I67" s="16">
        <v>14495</v>
      </c>
    </row>
    <row r="68" spans="1:9" ht="16.5" x14ac:dyDescent="0.25">
      <c r="A68" s="1">
        <v>44378</v>
      </c>
      <c r="B68" s="4">
        <v>67</v>
      </c>
      <c r="C68" s="10">
        <v>34935.46875</v>
      </c>
      <c r="D68" s="10">
        <f t="shared" si="4"/>
        <v>1.2470484860964904E-2</v>
      </c>
      <c r="E68" s="10">
        <v>6070.0390625</v>
      </c>
      <c r="F68" s="10">
        <f t="shared" si="3"/>
        <v>1.4027038960032287E-2</v>
      </c>
      <c r="G68" s="4">
        <v>3.5000000000000003E-2</v>
      </c>
      <c r="H68">
        <v>-1.357723206515526E-2</v>
      </c>
      <c r="I68" s="15">
        <v>14460</v>
      </c>
    </row>
    <row r="69" spans="1:9" ht="16.5" x14ac:dyDescent="0.25">
      <c r="A69" s="1">
        <v>44409</v>
      </c>
      <c r="B69" s="4">
        <v>68</v>
      </c>
      <c r="C69" s="10">
        <v>35360.73046875</v>
      </c>
      <c r="D69" s="10">
        <f t="shared" si="4"/>
        <v>1.2099285918686638E-2</v>
      </c>
      <c r="E69" s="10">
        <v>6150.298828125</v>
      </c>
      <c r="F69" s="10">
        <f t="shared" si="3"/>
        <v>1.3135630188571407E-2</v>
      </c>
      <c r="G69" s="4">
        <v>3.5000000000000003E-2</v>
      </c>
      <c r="H69">
        <v>3.1496089028962013E-3</v>
      </c>
      <c r="I69" s="15">
        <v>14265</v>
      </c>
    </row>
    <row r="70" spans="1:9" ht="16.5" x14ac:dyDescent="0.25">
      <c r="A70" s="1">
        <v>44440</v>
      </c>
      <c r="B70" s="4">
        <v>69</v>
      </c>
      <c r="C70" s="10">
        <v>33843.921875</v>
      </c>
      <c r="D70" s="10">
        <f t="shared" si="4"/>
        <v>-4.3842472934896105E-2</v>
      </c>
      <c r="E70" s="10">
        <v>6286.94287109375</v>
      </c>
      <c r="F70" s="10">
        <f t="shared" si="3"/>
        <v>2.1974251951679798E-2</v>
      </c>
      <c r="G70" s="4">
        <v>3.5000000000000003E-2</v>
      </c>
      <c r="H70">
        <v>-1.0184460285879713E-2</v>
      </c>
      <c r="I70" s="16">
        <v>14310</v>
      </c>
    </row>
    <row r="71" spans="1:9" ht="16.5" x14ac:dyDescent="0.25">
      <c r="A71" s="1">
        <v>44470</v>
      </c>
      <c r="B71" s="4">
        <v>70</v>
      </c>
      <c r="C71" s="10">
        <v>35819.55859375</v>
      </c>
      <c r="D71" s="10">
        <f t="shared" si="4"/>
        <v>5.6734650983363284E-2</v>
      </c>
      <c r="E71" s="10">
        <v>6591.34619140625</v>
      </c>
      <c r="F71" s="10">
        <f t="shared" si="3"/>
        <v>4.7282683030713882E-2</v>
      </c>
      <c r="G71" s="4">
        <v>3.5000000000000003E-2</v>
      </c>
      <c r="H71">
        <v>1.0883028250019602E-2</v>
      </c>
      <c r="I71" s="15">
        <v>14165</v>
      </c>
    </row>
    <row r="72" spans="1:9" ht="16.5" x14ac:dyDescent="0.25">
      <c r="A72" s="1">
        <v>44501</v>
      </c>
      <c r="B72" s="4">
        <v>71</v>
      </c>
      <c r="C72" s="10">
        <v>34483.71875</v>
      </c>
      <c r="D72" s="10">
        <f t="shared" si="4"/>
        <v>-3.8006781299386817E-2</v>
      </c>
      <c r="E72" s="10">
        <v>6533.93212890625</v>
      </c>
      <c r="F72" s="10">
        <f t="shared" si="3"/>
        <v>-8.7486798072432311E-3</v>
      </c>
      <c r="G72" s="4">
        <v>3.5000000000000003E-2</v>
      </c>
      <c r="H72">
        <v>-4.9002548178400671E-3</v>
      </c>
      <c r="I72" s="16">
        <v>14320</v>
      </c>
    </row>
    <row r="73" spans="1:9" ht="16.5" x14ac:dyDescent="0.25">
      <c r="A73" s="1">
        <v>44531</v>
      </c>
      <c r="B73" s="4">
        <v>72</v>
      </c>
      <c r="C73" s="10">
        <v>36338.30078125</v>
      </c>
      <c r="D73" s="10">
        <f t="shared" si="4"/>
        <v>5.2385010607844389E-2</v>
      </c>
      <c r="E73" s="10">
        <v>6581.48193359375</v>
      </c>
      <c r="F73" s="10">
        <f t="shared" si="3"/>
        <v>7.2510120987304295E-3</v>
      </c>
      <c r="G73" s="4">
        <v>3.5000000000000003E-2</v>
      </c>
      <c r="H73">
        <v>9.0814455782409938E-3</v>
      </c>
      <c r="I73" s="15">
        <v>14250</v>
      </c>
    </row>
    <row r="74" spans="1:9" ht="16.5" x14ac:dyDescent="0.25">
      <c r="A74" s="1">
        <v>44562</v>
      </c>
      <c r="B74" s="4">
        <v>73</v>
      </c>
      <c r="C74" s="10">
        <v>35131.859375</v>
      </c>
      <c r="D74" s="10">
        <f t="shared" si="4"/>
        <v>-3.376390968003315E-2</v>
      </c>
      <c r="E74" s="10">
        <v>6631.15087890625</v>
      </c>
      <c r="F74" s="10">
        <f t="shared" si="3"/>
        <v>7.5184378445169193E-3</v>
      </c>
      <c r="G74" s="4">
        <v>3.5000000000000003E-2</v>
      </c>
      <c r="H74">
        <v>-1.0436598616478038E-3</v>
      </c>
      <c r="I74" s="16">
        <v>14380</v>
      </c>
    </row>
    <row r="75" spans="1:9" ht="16.5" x14ac:dyDescent="0.25">
      <c r="A75" s="1">
        <v>44593</v>
      </c>
      <c r="B75" s="4">
        <v>74</v>
      </c>
      <c r="C75" s="10">
        <v>33892.6015625</v>
      </c>
      <c r="D75" s="10">
        <f t="shared" si="4"/>
        <v>-3.5911645712007771E-2</v>
      </c>
      <c r="E75" s="10">
        <v>6888.1708984375</v>
      </c>
      <c r="F75" s="10">
        <f t="shared" si="3"/>
        <v>3.8027202161371045E-2</v>
      </c>
      <c r="G75" s="4">
        <v>3.5000000000000003E-2</v>
      </c>
      <c r="H75">
        <v>2.0881912859099802E-4</v>
      </c>
      <c r="I75" s="15">
        <v>14365</v>
      </c>
    </row>
    <row r="76" spans="1:9" ht="16.5" x14ac:dyDescent="0.25">
      <c r="A76" s="1">
        <v>44621</v>
      </c>
      <c r="B76" s="4">
        <v>75</v>
      </c>
      <c r="C76" s="10">
        <v>34678.3515625</v>
      </c>
      <c r="D76" s="10">
        <f t="shared" si="4"/>
        <v>2.2918870408900695E-2</v>
      </c>
      <c r="E76" s="10">
        <v>7071.44189453125</v>
      </c>
      <c r="F76" s="10">
        <f t="shared" si="3"/>
        <v>2.6258826735915813E-2</v>
      </c>
      <c r="G76" s="4">
        <v>3.5000000000000003E-2</v>
      </c>
      <c r="H76">
        <v>8.8002508137749839E-3</v>
      </c>
      <c r="I76" s="16">
        <v>14368</v>
      </c>
    </row>
    <row r="77" spans="1:9" ht="16.5" x14ac:dyDescent="0.25">
      <c r="A77" s="1">
        <v>44652</v>
      </c>
      <c r="B77" s="4">
        <v>76</v>
      </c>
      <c r="C77" s="10">
        <v>32977.2109375</v>
      </c>
      <c r="D77" s="10">
        <f t="shared" si="4"/>
        <v>-5.0298872726353576E-2</v>
      </c>
      <c r="E77" s="10">
        <v>7228.9140625</v>
      </c>
      <c r="F77" s="10">
        <f t="shared" si="3"/>
        <v>2.2024421472674624E-2</v>
      </c>
      <c r="G77" s="4">
        <v>3.5000000000000003E-2</v>
      </c>
      <c r="H77">
        <v>5.8469642068931871E-3</v>
      </c>
      <c r="I77" s="16">
        <v>14495</v>
      </c>
    </row>
    <row r="78" spans="1:9" ht="16.5" x14ac:dyDescent="0.25">
      <c r="A78" s="1">
        <v>44682</v>
      </c>
      <c r="B78" s="4">
        <v>77</v>
      </c>
      <c r="C78" s="10">
        <v>32990.12109375</v>
      </c>
      <c r="D78" s="10">
        <f t="shared" si="4"/>
        <v>3.9141059725470806E-4</v>
      </c>
      <c r="E78" s="10">
        <v>7148.97021484375</v>
      </c>
      <c r="F78" s="10">
        <f t="shared" si="3"/>
        <v>-1.112050562814532E-2</v>
      </c>
      <c r="G78" s="4">
        <v>3.5000000000000003E-2</v>
      </c>
      <c r="H78">
        <v>2.1374859584733612E-2</v>
      </c>
      <c r="I78" s="16">
        <v>14580</v>
      </c>
    </row>
    <row r="79" spans="1:9" ht="16.5" x14ac:dyDescent="0.25">
      <c r="A79" s="1">
        <v>44713</v>
      </c>
      <c r="B79" s="4">
        <v>78</v>
      </c>
      <c r="C79" s="10">
        <v>30775.4296875</v>
      </c>
      <c r="D79" s="10">
        <f>LN(C79/C78)</f>
        <v>-6.9491521654759275E-2</v>
      </c>
      <c r="E79" s="10">
        <v>6911.58203125</v>
      </c>
      <c r="F79" s="10">
        <f t="shared" si="3"/>
        <v>-3.3769760779756915E-2</v>
      </c>
      <c r="G79" s="4">
        <v>3.5000000000000003E-2</v>
      </c>
      <c r="H79">
        <v>-4.373430015404892E-3</v>
      </c>
      <c r="I79" s="16">
        <v>14895</v>
      </c>
    </row>
    <row r="80" spans="1:9" ht="16.5" x14ac:dyDescent="0.25">
      <c r="A80" s="1">
        <v>44743</v>
      </c>
      <c r="B80" s="4">
        <v>79</v>
      </c>
      <c r="C80" s="10">
        <v>32845.12890625</v>
      </c>
      <c r="D80" s="10">
        <f t="shared" si="4"/>
        <v>6.5086816821978297E-2</v>
      </c>
      <c r="E80" s="10">
        <v>6951.123046875</v>
      </c>
      <c r="F80" s="10">
        <f t="shared" si="3"/>
        <v>5.7046763434894544E-3</v>
      </c>
      <c r="G80" s="4">
        <v>3.5000000000000003E-2</v>
      </c>
      <c r="H80">
        <v>6.7408158939371383E-4</v>
      </c>
      <c r="I80" s="15">
        <v>14830</v>
      </c>
    </row>
    <row r="81" spans="1:9" ht="16.5" x14ac:dyDescent="0.25">
      <c r="A81" s="1">
        <v>44774</v>
      </c>
      <c r="B81" s="4">
        <v>80</v>
      </c>
      <c r="C81" s="10">
        <v>31510.4296875</v>
      </c>
      <c r="D81" s="10">
        <f t="shared" si="4"/>
        <v>-4.1484858800696398E-2</v>
      </c>
      <c r="E81" s="10">
        <v>7178.58984375</v>
      </c>
      <c r="F81" s="10">
        <f t="shared" si="3"/>
        <v>3.2199727178144399E-2</v>
      </c>
      <c r="G81" s="4">
        <v>3.7499999999999999E-2</v>
      </c>
      <c r="H81">
        <v>2.56125758567263E-2</v>
      </c>
      <c r="I81" s="16">
        <v>14840</v>
      </c>
    </row>
    <row r="82" spans="1:9" ht="16.5" x14ac:dyDescent="0.25">
      <c r="A82" s="1">
        <v>44805</v>
      </c>
      <c r="B82" s="4">
        <v>81</v>
      </c>
      <c r="C82" s="10">
        <v>28725.509765625</v>
      </c>
      <c r="D82" s="10">
        <f t="shared" si="4"/>
        <v>-9.2533022232885301E-2</v>
      </c>
      <c r="E82" s="10">
        <v>7040.7978515625</v>
      </c>
      <c r="F82" s="10">
        <f t="shared" si="3"/>
        <v>-1.9381468242776721E-2</v>
      </c>
      <c r="G82" s="4">
        <v>4.2500000000000003E-2</v>
      </c>
      <c r="H82">
        <v>2.4011536463805921E-2</v>
      </c>
      <c r="I82" s="16">
        <v>15225</v>
      </c>
    </row>
    <row r="83" spans="1:9" ht="16.5" x14ac:dyDescent="0.25">
      <c r="A83" s="1">
        <v>44835</v>
      </c>
      <c r="B83" s="4">
        <v>82</v>
      </c>
      <c r="C83" s="10">
        <v>32732.94921875</v>
      </c>
      <c r="D83" s="10">
        <f t="shared" si="4"/>
        <v>0.13059662197477814</v>
      </c>
      <c r="E83" s="10">
        <v>7098.89013671875</v>
      </c>
      <c r="F83" s="10">
        <f t="shared" si="3"/>
        <v>8.216958119897708E-3</v>
      </c>
      <c r="G83" s="4">
        <v>4.7500000000000001E-2</v>
      </c>
      <c r="H83">
        <v>8.6193670104199299E-3</v>
      </c>
      <c r="I83" s="16">
        <v>15595</v>
      </c>
    </row>
    <row r="84" spans="1:9" ht="16.5" x14ac:dyDescent="0.25">
      <c r="A84" s="1">
        <v>44866</v>
      </c>
      <c r="B84" s="4">
        <v>83</v>
      </c>
      <c r="C84" s="10">
        <v>34589.76953125</v>
      </c>
      <c r="D84" s="10">
        <f t="shared" si="4"/>
        <v>5.5175768092609309E-2</v>
      </c>
      <c r="E84" s="10">
        <v>7081.31298828125</v>
      </c>
      <c r="F84" s="10">
        <f t="shared" si="3"/>
        <v>-2.479112222156576E-3</v>
      </c>
      <c r="G84" s="4">
        <v>5.2499999999999998E-2</v>
      </c>
      <c r="H84">
        <v>-1.0544913176614998E-2</v>
      </c>
      <c r="I84" s="16">
        <v>15730</v>
      </c>
    </row>
    <row r="85" spans="1:9" ht="16.5" x14ac:dyDescent="0.25">
      <c r="A85" s="1">
        <v>44896</v>
      </c>
      <c r="B85" s="4">
        <v>84</v>
      </c>
      <c r="C85" s="10">
        <v>33147.25</v>
      </c>
      <c r="D85" s="10">
        <f t="shared" si="4"/>
        <v>-4.259820312327902E-2</v>
      </c>
      <c r="E85" s="10">
        <v>6850.619140625</v>
      </c>
      <c r="F85" s="10">
        <f t="shared" si="3"/>
        <v>-3.3120307151741461E-2</v>
      </c>
      <c r="G85" s="4">
        <v>5.5E-2</v>
      </c>
      <c r="H85">
        <v>-3.7975103124945016E-2</v>
      </c>
      <c r="I85" s="15">
        <v>15565</v>
      </c>
    </row>
    <row r="86" spans="1:9" ht="16.5" x14ac:dyDescent="0.25">
      <c r="A86" s="1">
        <v>44927</v>
      </c>
      <c r="B86" s="4">
        <v>85</v>
      </c>
      <c r="C86" s="10">
        <v>34086.0390625</v>
      </c>
      <c r="D86" s="10">
        <f t="shared" si="4"/>
        <v>2.7928131869361487E-2</v>
      </c>
      <c r="E86" s="10">
        <v>6839.341796875</v>
      </c>
      <c r="F86" s="10">
        <f t="shared" si="3"/>
        <v>-1.6475352051615157E-3</v>
      </c>
      <c r="G86" s="4">
        <v>5.7500000000000002E-2</v>
      </c>
      <c r="H86">
        <v>1.7201879671591622E-2</v>
      </c>
      <c r="I86" s="15">
        <v>14985</v>
      </c>
    </row>
    <row r="87" spans="1:9" ht="16.5" x14ac:dyDescent="0.25">
      <c r="A87" s="1">
        <v>44958</v>
      </c>
      <c r="B87" s="4">
        <v>86</v>
      </c>
      <c r="C87" s="10">
        <v>32656.69921875</v>
      </c>
      <c r="D87" s="10">
        <f t="shared" si="4"/>
        <v>-4.283787131531188E-2</v>
      </c>
      <c r="E87" s="10">
        <v>6843.23876953125</v>
      </c>
      <c r="F87" s="10">
        <f t="shared" si="3"/>
        <v>5.6962540694840123E-4</v>
      </c>
      <c r="G87" s="4">
        <v>5.7500000000000002E-2</v>
      </c>
      <c r="H87">
        <v>-1.6868268325711727E-2</v>
      </c>
      <c r="I87" s="16">
        <v>15245</v>
      </c>
    </row>
    <row r="88" spans="1:9" ht="16.5" x14ac:dyDescent="0.25">
      <c r="A88" s="1">
        <v>44986</v>
      </c>
      <c r="B88" s="4">
        <v>87</v>
      </c>
      <c r="C88" s="10">
        <v>33274.1484375</v>
      </c>
      <c r="D88" s="10">
        <f t="shared" si="4"/>
        <v>1.8730754807864024E-2</v>
      </c>
      <c r="E88" s="10">
        <v>6805.27685546875</v>
      </c>
      <c r="F88" s="10">
        <f t="shared" si="3"/>
        <v>-5.5628044835216465E-3</v>
      </c>
      <c r="G88" s="4">
        <v>5.7500000000000002E-2</v>
      </c>
      <c r="H88">
        <v>-2.1919609685091972E-2</v>
      </c>
      <c r="I88" s="15">
        <v>14990</v>
      </c>
    </row>
    <row r="89" spans="1:9" ht="16.5" x14ac:dyDescent="0.25">
      <c r="A89" s="1">
        <v>45017</v>
      </c>
      <c r="B89" s="4">
        <v>88</v>
      </c>
      <c r="C89" s="10">
        <v>34098.16015625</v>
      </c>
      <c r="D89" s="10">
        <f t="shared" si="4"/>
        <v>2.4462656178414567E-2</v>
      </c>
      <c r="E89" s="10">
        <v>6915.7158203125</v>
      </c>
      <c r="F89" s="10">
        <f t="shared" si="3"/>
        <v>1.6098157395863379E-2</v>
      </c>
      <c r="G89" s="4">
        <v>5.7500000000000002E-2</v>
      </c>
      <c r="H89">
        <v>2.1585998339212212E-2</v>
      </c>
      <c r="I89" s="15">
        <v>14665</v>
      </c>
    </row>
    <row r="90" spans="1:9" ht="16.5" x14ac:dyDescent="0.25">
      <c r="A90" s="1">
        <v>45047</v>
      </c>
      <c r="B90" s="4">
        <v>89</v>
      </c>
      <c r="C90" s="10">
        <v>32908.26953125</v>
      </c>
      <c r="D90" s="10">
        <f t="shared" si="4"/>
        <v>-3.5519448750958194E-2</v>
      </c>
      <c r="E90" s="10">
        <v>6633.26123046875</v>
      </c>
      <c r="F90" s="10">
        <f t="shared" si="3"/>
        <v>-4.1699903571760538E-2</v>
      </c>
      <c r="G90" s="4">
        <v>5.7500000000000002E-2</v>
      </c>
      <c r="H90">
        <v>3.336113458799069E-4</v>
      </c>
      <c r="I90" s="16">
        <v>14985</v>
      </c>
    </row>
    <row r="91" spans="1:9" ht="16.5" x14ac:dyDescent="0.25">
      <c r="A91" s="1">
        <v>45078</v>
      </c>
      <c r="B91" s="4">
        <v>90</v>
      </c>
      <c r="C91" s="10">
        <v>34407.6015625</v>
      </c>
      <c r="D91" s="10">
        <f t="shared" si="4"/>
        <v>4.4553535901144942E-2</v>
      </c>
      <c r="E91" s="10">
        <v>6661.87890625</v>
      </c>
      <c r="F91" s="10">
        <f t="shared" si="3"/>
        <v>4.3049895953575622E-3</v>
      </c>
      <c r="G91" s="4">
        <v>5.7500000000000002E-2</v>
      </c>
      <c r="H91">
        <v>5.6544304987428467E-3</v>
      </c>
      <c r="I91" s="16">
        <v>14990</v>
      </c>
    </row>
    <row r="92" spans="1:9" ht="16.5" x14ac:dyDescent="0.25">
      <c r="A92" s="1">
        <v>45108</v>
      </c>
      <c r="B92" s="4">
        <v>91</v>
      </c>
      <c r="C92" s="10">
        <v>35559.53125</v>
      </c>
      <c r="D92" s="10">
        <f t="shared" si="4"/>
        <v>3.2930712990915705E-2</v>
      </c>
      <c r="E92" s="10">
        <v>6931.35888671875</v>
      </c>
      <c r="F92" s="10">
        <f t="shared" si="3"/>
        <v>3.9654318708726641E-2</v>
      </c>
      <c r="G92" s="4">
        <v>5.7500000000000002E-2</v>
      </c>
      <c r="H92">
        <v>9.9010709827115368E-3</v>
      </c>
      <c r="I92" s="16">
        <v>15075</v>
      </c>
    </row>
    <row r="93" spans="1:9" ht="16.5" x14ac:dyDescent="0.25">
      <c r="A93" s="1">
        <v>45139</v>
      </c>
      <c r="B93" s="4">
        <v>92</v>
      </c>
      <c r="C93" s="10">
        <v>34721.91015625</v>
      </c>
      <c r="D93" s="10">
        <f t="shared" si="4"/>
        <v>-2.3837324312965487E-2</v>
      </c>
      <c r="E93" s="10">
        <v>6953.259765625</v>
      </c>
      <c r="F93" s="10">
        <f t="shared" si="3"/>
        <v>3.1546991124469913E-3</v>
      </c>
      <c r="G93" s="4">
        <v>5.7500000000000002E-2</v>
      </c>
      <c r="H93">
        <v>1.4670189747793839E-2</v>
      </c>
      <c r="I93" s="16">
        <v>15225</v>
      </c>
    </row>
    <row r="94" spans="1:9" ht="16.5" x14ac:dyDescent="0.25">
      <c r="A94" s="1">
        <v>45170</v>
      </c>
      <c r="B94" s="4">
        <v>93</v>
      </c>
      <c r="C94" s="10">
        <v>33507.5</v>
      </c>
      <c r="D94" s="10">
        <f>LN(C94/C93)</f>
        <v>-3.5601609929334331E-2</v>
      </c>
      <c r="E94" s="10">
        <v>6939.89208984375</v>
      </c>
      <c r="F94" s="10">
        <f t="shared" si="3"/>
        <v>-1.9243552572541631E-3</v>
      </c>
      <c r="G94" s="4">
        <v>5.7500000000000002E-2</v>
      </c>
      <c r="H94">
        <v>2.7451452475235196E-2</v>
      </c>
      <c r="I94" s="16">
        <v>15450</v>
      </c>
    </row>
    <row r="95" spans="1:9" ht="16.5" x14ac:dyDescent="0.25">
      <c r="A95" s="1">
        <v>45200</v>
      </c>
      <c r="B95" s="4">
        <v>94</v>
      </c>
      <c r="C95" s="10">
        <v>33052.87109375</v>
      </c>
      <c r="D95" s="10">
        <f t="shared" si="4"/>
        <v>-1.366086062805341E-2</v>
      </c>
      <c r="E95" s="10">
        <v>6752.2109375</v>
      </c>
      <c r="F95" s="10">
        <f t="shared" si="3"/>
        <v>-2.7416227834799595E-2</v>
      </c>
      <c r="G95" s="4">
        <v>0.06</v>
      </c>
      <c r="H95">
        <v>-2.3897903266577387E-2</v>
      </c>
      <c r="I95" s="16">
        <v>15880</v>
      </c>
    </row>
    <row r="96" spans="1:9" ht="16.5" x14ac:dyDescent="0.25">
      <c r="A96" s="1">
        <v>45231</v>
      </c>
      <c r="B96" s="4">
        <v>95</v>
      </c>
      <c r="C96" s="10">
        <v>35950.890625</v>
      </c>
      <c r="D96" s="10">
        <f t="shared" si="4"/>
        <v>8.4045424109379235E-2</v>
      </c>
      <c r="E96" s="10">
        <v>7080.7412109375</v>
      </c>
      <c r="F96" s="10">
        <f t="shared" si="3"/>
        <v>4.7508595487151854E-2</v>
      </c>
      <c r="G96" s="4">
        <v>0.06</v>
      </c>
      <c r="H96">
        <v>-7.1197711759486077E-3</v>
      </c>
      <c r="I96" s="15">
        <v>15505</v>
      </c>
    </row>
    <row r="97" spans="1:9" ht="16.5" x14ac:dyDescent="0.25">
      <c r="A97" s="1">
        <v>45261</v>
      </c>
      <c r="B97" s="4">
        <v>96</v>
      </c>
      <c r="C97" s="10">
        <v>37689.5390625</v>
      </c>
      <c r="D97" s="10">
        <f t="shared" si="4"/>
        <v>4.7228719649581224E-2</v>
      </c>
      <c r="E97" s="10">
        <v>7272.796875</v>
      </c>
      <c r="F97" s="10">
        <f t="shared" si="3"/>
        <v>2.6762339105906665E-2</v>
      </c>
      <c r="G97" s="4">
        <v>0.06</v>
      </c>
      <c r="H97">
        <v>2.4383627050813258E-2</v>
      </c>
      <c r="I97" s="15">
        <v>15395</v>
      </c>
    </row>
    <row r="98" spans="1:9" ht="16.5" x14ac:dyDescent="0.25">
      <c r="A98" s="1">
        <v>45292</v>
      </c>
      <c r="B98" s="4">
        <v>97</v>
      </c>
      <c r="C98" s="10">
        <v>38150.30078125</v>
      </c>
      <c r="D98" s="10">
        <f t="shared" si="4"/>
        <v>1.2151064372276383E-2</v>
      </c>
      <c r="E98" s="10">
        <v>7207.94091796875</v>
      </c>
      <c r="F98" s="10">
        <f t="shared" si="3"/>
        <v>-8.9576085999680775E-3</v>
      </c>
      <c r="G98" s="4">
        <v>0.06</v>
      </c>
      <c r="H98">
        <v>-4.128956159747104E-3</v>
      </c>
      <c r="I98" s="16">
        <v>15775</v>
      </c>
    </row>
    <row r="99" spans="1:9" ht="16.5" x14ac:dyDescent="0.25">
      <c r="A99" s="1">
        <v>45323</v>
      </c>
      <c r="B99" s="4">
        <v>98</v>
      </c>
      <c r="C99" s="10">
        <v>38996.390625</v>
      </c>
      <c r="D99" s="10">
        <f t="shared" si="4"/>
        <v>2.1935451896187744E-2</v>
      </c>
      <c r="E99" s="10">
        <v>7316.11083984375</v>
      </c>
      <c r="F99" s="10">
        <f t="shared" si="3"/>
        <v>1.4895557205634522E-2</v>
      </c>
      <c r="G99" s="4">
        <v>0.06</v>
      </c>
      <c r="H99">
        <v>8.8720480557597965E-3</v>
      </c>
      <c r="I99" s="15">
        <v>15710</v>
      </c>
    </row>
    <row r="100" spans="1:9" ht="16.5" x14ac:dyDescent="0.25">
      <c r="A100" s="1">
        <v>45352</v>
      </c>
      <c r="B100" s="4">
        <v>99</v>
      </c>
      <c r="C100" s="10">
        <v>39807.37109375</v>
      </c>
      <c r="D100" s="10">
        <f t="shared" si="4"/>
        <v>2.0583004733033688E-2</v>
      </c>
      <c r="E100" s="10">
        <v>7288.81298828125</v>
      </c>
      <c r="F100" s="10">
        <f t="shared" si="3"/>
        <v>-3.7381753813971615E-3</v>
      </c>
      <c r="G100" s="4">
        <v>0.06</v>
      </c>
      <c r="H100">
        <v>2.5231053432579018E-2</v>
      </c>
      <c r="I100" s="16">
        <v>15850</v>
      </c>
    </row>
    <row r="101" spans="1:9" ht="16.5" x14ac:dyDescent="0.25">
      <c r="A101" s="1">
        <v>45383</v>
      </c>
      <c r="B101" s="4">
        <v>100</v>
      </c>
      <c r="C101" s="10">
        <v>37815.921875</v>
      </c>
      <c r="D101" s="10">
        <f t="shared" si="4"/>
        <v>-5.132187093859486E-2</v>
      </c>
      <c r="E101" s="10">
        <v>7234.19677734375</v>
      </c>
      <c r="F101" s="10">
        <f t="shared" si="3"/>
        <v>-7.5213704725402364E-3</v>
      </c>
      <c r="G101" s="4">
        <v>6.25E-2</v>
      </c>
      <c r="H101">
        <v>-6.153846348049874E-4</v>
      </c>
      <c r="I101" s="16">
        <v>16255</v>
      </c>
    </row>
    <row r="102" spans="1:9" ht="16.5" x14ac:dyDescent="0.25">
      <c r="A102" s="1">
        <v>45413</v>
      </c>
      <c r="B102" s="4">
        <v>101</v>
      </c>
      <c r="C102" s="10">
        <v>38686.3203125</v>
      </c>
      <c r="D102" s="10">
        <f t="shared" si="4"/>
        <v>2.2755829685367317E-2</v>
      </c>
      <c r="E102" s="10">
        <v>6970.73583984375</v>
      </c>
      <c r="F102" s="10">
        <f t="shared" si="3"/>
        <v>-3.7098543262935206E-2</v>
      </c>
      <c r="G102" s="4">
        <v>6.25E-2</v>
      </c>
      <c r="H102">
        <v>7.6652222619798373E-3</v>
      </c>
      <c r="I102" s="15">
        <v>16245</v>
      </c>
    </row>
    <row r="103" spans="1:9" ht="16.5" x14ac:dyDescent="0.25">
      <c r="A103" s="1">
        <v>45444</v>
      </c>
      <c r="B103" s="4">
        <v>102</v>
      </c>
      <c r="C103" s="10">
        <v>39118.859375</v>
      </c>
      <c r="D103" s="10">
        <f>LN(C103/C102)</f>
        <v>1.1118630411071469E-2</v>
      </c>
      <c r="E103" s="10">
        <v>7063.5771484375</v>
      </c>
      <c r="F103" s="10">
        <f t="shared" si="3"/>
        <v>1.3230809804996756E-2</v>
      </c>
      <c r="G103" s="4">
        <v>6.25E-2</v>
      </c>
      <c r="H103">
        <v>-7.0498376271749012E-3</v>
      </c>
      <c r="I103" s="16">
        <v>16370</v>
      </c>
    </row>
    <row r="104" spans="1:9" ht="16.5" x14ac:dyDescent="0.25">
      <c r="A104" s="1">
        <v>45474</v>
      </c>
      <c r="B104" s="4">
        <v>103</v>
      </c>
      <c r="C104" s="10">
        <v>40842.7890625</v>
      </c>
      <c r="D104" s="10">
        <f t="shared" si="4"/>
        <v>4.3125595725525497E-2</v>
      </c>
      <c r="E104" s="10">
        <v>7255.76220703125</v>
      </c>
      <c r="F104" s="10">
        <f t="shared" si="3"/>
        <v>2.6844338931225394E-2</v>
      </c>
      <c r="G104" s="4">
        <v>6.25E-2</v>
      </c>
      <c r="H104">
        <v>-5.0791550412114216E-2</v>
      </c>
      <c r="I104" s="15">
        <v>16255</v>
      </c>
    </row>
    <row r="105" spans="1:9" ht="16.5" x14ac:dyDescent="0.25">
      <c r="A105" s="1">
        <v>45505</v>
      </c>
      <c r="B105" s="4">
        <v>104</v>
      </c>
      <c r="C105" s="10">
        <v>41563.078125</v>
      </c>
      <c r="D105" s="10">
        <f t="shared" si="4"/>
        <v>1.748194470747997E-2</v>
      </c>
      <c r="E105" s="10">
        <v>7670.73291015625</v>
      </c>
      <c r="F105" s="10">
        <f t="shared" si="3"/>
        <v>5.5616225877866132E-2</v>
      </c>
      <c r="G105" s="4">
        <v>6.25E-2</v>
      </c>
      <c r="H105">
        <v>-2.0599060870072534E-2</v>
      </c>
      <c r="I105" s="15">
        <v>15450</v>
      </c>
    </row>
    <row r="106" spans="1:9" ht="16.5" x14ac:dyDescent="0.25">
      <c r="A106" s="1">
        <v>45536</v>
      </c>
      <c r="B106" s="4">
        <v>105</v>
      </c>
      <c r="C106" s="10">
        <v>42330.1484375</v>
      </c>
      <c r="D106" s="10">
        <f t="shared" si="4"/>
        <v>1.8287333106668725E-2</v>
      </c>
      <c r="E106" s="10">
        <v>7527.92919921875</v>
      </c>
      <c r="F106" s="10">
        <f t="shared" si="3"/>
        <v>-1.879216899844257E-2</v>
      </c>
      <c r="G106" s="4">
        <v>0.06</v>
      </c>
      <c r="H106">
        <v>3.6013624271259245E-2</v>
      </c>
      <c r="I106" s="15">
        <v>15135</v>
      </c>
    </row>
    <row r="107" spans="1:9" ht="16.5" x14ac:dyDescent="0.25">
      <c r="A107" s="1">
        <v>45566</v>
      </c>
      <c r="B107" s="4">
        <v>106</v>
      </c>
      <c r="C107" s="10">
        <v>41763.4609375</v>
      </c>
      <c r="D107" s="10">
        <f t="shared" si="4"/>
        <v>-1.3477744204308436E-2</v>
      </c>
      <c r="E107" s="10">
        <v>7574.01904296875</v>
      </c>
      <c r="F107" s="10">
        <f t="shared" si="3"/>
        <v>6.1038464849691469E-3</v>
      </c>
      <c r="G107" s="4">
        <v>0.06</v>
      </c>
      <c r="H107">
        <v>9.5148196413384883E-3</v>
      </c>
      <c r="I107" s="16">
        <v>15690</v>
      </c>
    </row>
    <row r="108" spans="1:9" ht="16.5" x14ac:dyDescent="0.25">
      <c r="A108" s="1">
        <v>45597</v>
      </c>
      <c r="B108" s="4">
        <v>107</v>
      </c>
      <c r="C108" s="10">
        <v>44910.6484375</v>
      </c>
      <c r="D108" s="10">
        <f t="shared" si="4"/>
        <v>7.2653108598702804E-2</v>
      </c>
      <c r="E108" s="10">
        <v>7114.26611328125</v>
      </c>
      <c r="F108" s="10">
        <f t="shared" si="3"/>
        <v>-6.2621763921396123E-2</v>
      </c>
      <c r="G108" s="4">
        <v>0.06</v>
      </c>
      <c r="H108">
        <v>1.565957461801205E-2</v>
      </c>
      <c r="I108" s="16">
        <v>15840</v>
      </c>
    </row>
    <row r="109" spans="1:9" ht="16.5" x14ac:dyDescent="0.25">
      <c r="A109" s="1">
        <v>45627</v>
      </c>
      <c r="B109" s="4">
        <v>108</v>
      </c>
      <c r="C109" s="10">
        <v>42544.21875</v>
      </c>
      <c r="D109" s="10">
        <f t="shared" si="4"/>
        <v>-5.4130949371771951E-2</v>
      </c>
      <c r="E109" s="10">
        <v>7079.90478515625</v>
      </c>
      <c r="F109" s="10">
        <f t="shared" si="3"/>
        <v>-4.8416206192893798E-3</v>
      </c>
      <c r="G109" s="4">
        <v>0.06</v>
      </c>
      <c r="H109">
        <v>1.2967146808424822E-2</v>
      </c>
      <c r="I109" s="16">
        <v>16090</v>
      </c>
    </row>
    <row r="110" spans="1:9" ht="16.5" x14ac:dyDescent="0.3">
      <c r="F110" s="5"/>
      <c r="I110" s="17"/>
    </row>
    <row r="111" spans="1:9" ht="15.75" x14ac:dyDescent="0.25">
      <c r="F111" s="5"/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Diki Fernandi</cp:lastModifiedBy>
  <dcterms:created xsi:type="dcterms:W3CDTF">2025-11-22T15:27:41Z</dcterms:created>
  <dcterms:modified xsi:type="dcterms:W3CDTF">2025-11-26T09:34:54Z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2025-11-26T07:16:19Z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6c32e106-5177-43db-83c7-0160143e0fc1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